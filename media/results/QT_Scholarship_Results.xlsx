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vir\Downloads\"/>
    </mc:Choice>
  </mc:AlternateContent>
  <xr:revisionPtr revIDLastSave="0" documentId="13_ncr:1_{DFBA6E37-E25D-47C6-B783-B7FD30C5F2B2}" xr6:coauthVersionLast="47" xr6:coauthVersionMax="47" xr10:uidLastSave="{00000000-0000-0000-0000-000000000000}"/>
  <bookViews>
    <workbookView xWindow="3312" yWindow="3312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<sst xmlns="http://schemas.openxmlformats.org/spreadsheetml/2006/main" count="27" uniqueCount="27">
  <si>
    <t>S.No</t>
  </si>
  <si>
    <t>Name</t>
  </si>
  <si>
    <t>Email</t>
  </si>
  <si>
    <t>Mobile</t>
  </si>
  <si>
    <t>Hall Ticket Number</t>
  </si>
  <si>
    <t>Marks</t>
  </si>
  <si>
    <t>Percentage</t>
  </si>
  <si>
    <t>Pavan</t>
  </si>
  <si>
    <t>Pavan@qualitythought.in</t>
  </si>
  <si>
    <t>42 Out of 60</t>
  </si>
  <si>
    <t>Shabana</t>
  </si>
  <si>
    <t>shabana@ihubtalent.com</t>
  </si>
  <si>
    <t>36 Out of 60</t>
  </si>
  <si>
    <t>Vamsi</t>
  </si>
  <si>
    <t>vamsi@qualitythought.in</t>
  </si>
  <si>
    <t>49 Out of 60</t>
  </si>
  <si>
    <t>Fatima</t>
  </si>
  <si>
    <t>fatima@qualitythought.in</t>
  </si>
  <si>
    <t>55 Out of 60</t>
  </si>
  <si>
    <t>Teja</t>
  </si>
  <si>
    <t>teja@qualitythought.in</t>
  </si>
  <si>
    <t>29 Out of 60</t>
  </si>
  <si>
    <t>QTQCST0001</t>
  </si>
  <si>
    <t>QTQCST0002</t>
  </si>
  <si>
    <t>QTQCST0003</t>
  </si>
  <si>
    <t>QTQCST0004</t>
  </si>
  <si>
    <t>QTQCST0005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</si>
</sst>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"/>
  <sheetViews>
    <sheetView tabSelected="1" workbookViewId="0">
      <selection activeCell="H1" sqref="H1"/>
    </sheetView>
  </sheetViews>
  <sheetFormatPr defaultColWidth="12.6640625" defaultRowHeight="15.75" customHeight="1" x14ac:dyDescent="0.25"/>
  <cols>
    <col min="1" max="1" width="5" bestFit="1" customWidth="1"/>
    <col min="2" max="2" width="7.88671875" bestFit="1" customWidth="1"/>
    <col min="3" max="3" width="22.21875" bestFit="1" customWidth="1"/>
    <col min="4" max="4" width="11" bestFit="1" customWidth="1"/>
    <col min="5" max="5" width="16.21875" bestFit="1" customWidth="1"/>
    <col min="6" max="6" width="10.33203125" bestFit="1" customWidth="1"/>
    <col min="7" max="7" width="11" bestFit="1" customWidth="1"/>
  </cols>
  <sheetData>
    <row r="1" spans="1:7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spans="1:7" ht="15.75" customHeight="1" x14ac:dyDescent="0.3">
      <c r="A2" s="1">
        <v>1</v>
      </c>
      <c r="B2" s="2" t="s">
        <v>7</v>
      </c>
      <c r="C2" s="2" t="s">
        <v>8</v>
      </c>
      <c r="D2" s="3">
        <v>8125309348</v>
      </c>
      <c r="E2" s="2" t="s">
        <v>22</v>
      </c>
      <c r="F2" s="1">
        <f ca="1">IFERROR(__xludf.DUMMYFUNCTION("ROUND( (VALUE(REGEXEXTRACT(F2,""^\d+"")) / VALUE(REGEXEXTRACT(F2,""\d+$"")) ) * 100 , 2)"),70)</f>
        <v>70</v>
      </c>
      <c r="G2" s="1" t="s">
        <v>9</v>
      </c>
    </row>
    <row r="3" spans="1:7" ht="15.75" customHeight="1" x14ac:dyDescent="0.3">
      <c r="A3" s="1">
        <v>2</v>
      </c>
      <c r="B3" s="2" t="s">
        <v>10</v>
      </c>
      <c r="C3" s="2" t="s">
        <v>11</v>
      </c>
      <c r="D3" s="3">
        <v>9160375471</v>
      </c>
      <c r="E3" s="2" t="s">
        <v>23</v>
      </c>
      <c r="F3" s="1">
        <f ca="1">IFERROR(__xludf.DUMMYFUNCTION("ROUND( (VALUE(REGEXEXTRACT(F3,""^\d+"")) / VALUE(REGEXEXTRACT(F3,""\d+$"")) ) * 100 , 2)"),60)</f>
        <v>60</v>
      </c>
      <c r="G3" s="1" t="s">
        <v>12</v>
      </c>
    </row>
    <row r="4" spans="1:7" ht="15.75" customHeight="1" x14ac:dyDescent="0.3">
      <c r="A4" s="1">
        <v>3</v>
      </c>
      <c r="B4" s="2" t="s">
        <v>13</v>
      </c>
      <c r="C4" s="2" t="s">
        <v>14</v>
      </c>
      <c r="D4" s="3">
        <v>8885261915</v>
      </c>
      <c r="E4" s="2" t="s">
        <v>24</v>
      </c>
      <c r="F4" s="1">
        <f ca="1">IFERROR(__xludf.DUMMYFUNCTION("ROUND( (VALUE(REGEXEXTRACT(F4,""^\d+"")) / VALUE(REGEXEXTRACT(F4,""\d+$"")) ) * 100 , 2)"),81.67)</f>
        <v>81.67</v>
      </c>
      <c r="G4" s="1" t="s">
        <v>15</v>
      </c>
    </row>
    <row r="5" spans="1:7" ht="15.75" customHeight="1" x14ac:dyDescent="0.3">
      <c r="A5" s="1">
        <v>4</v>
      </c>
      <c r="B5" s="2" t="s">
        <v>16</v>
      </c>
      <c r="C5" s="2" t="s">
        <v>17</v>
      </c>
      <c r="D5" s="3">
        <v>9502715126</v>
      </c>
      <c r="E5" s="2" t="s">
        <v>25</v>
      </c>
      <c r="F5" s="1">
        <f ca="1">IFERROR(__xludf.DUMMYFUNCTION("ROUND( (VALUE(REGEXEXTRACT(F5,""^\d+"")) / VALUE(REGEXEXTRACT(F5,""\d+$"")) ) * 100 , 2)"),91.67)</f>
        <v>91.67</v>
      </c>
      <c r="G5" s="1" t="s">
        <v>18</v>
      </c>
    </row>
    <row r="6" spans="1:7" ht="15.75" customHeight="1" x14ac:dyDescent="0.3">
      <c r="A6" s="1">
        <v>5</v>
      </c>
      <c r="B6" s="2" t="s">
        <v>19</v>
      </c>
      <c r="C6" s="2" t="s">
        <v>20</v>
      </c>
      <c r="D6" s="3">
        <v>7730997544</v>
      </c>
      <c r="E6" s="2" t="s">
        <v>26</v>
      </c>
      <c r="F6" s="1">
        <f ca="1">IFERROR(__xludf.DUMMYFUNCTION("ROUND( (VALUE(REGEXEXTRACT(F6,""^\d+"")) / VALUE(REGEXEXTRACT(F6,""\d+$"")) ) * 100 , 2)"),48.33)</f>
        <v>48.33</v>
      </c>
      <c r="G6" s="1" t="s">
        <v>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KALYAN BABU</cp:lastModifiedBy>
  <dcterms:modified xsi:type="dcterms:W3CDTF">2025-11-22T16:29:20Z</dcterms:modified>
</cp:coreProperties>
</file>